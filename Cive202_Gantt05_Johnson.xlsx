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c1419cd8cb0626de/202/202_Project05/"/>
    </mc:Choice>
  </mc:AlternateContent>
  <xr:revisionPtr revIDLastSave="165" documentId="8_{311AA5F5-DE56-4B47-9B91-08152612F390}" xr6:coauthVersionLast="47" xr6:coauthVersionMax="47" xr10:uidLastSave="{05798D4B-3329-42B1-8546-C09E28E6AE3B}"/>
  <bookViews>
    <workbookView xWindow="-110" yWindow="-110" windowWidth="19420" windowHeight="11500" xr2:uid="{00000000-000D-0000-FFFF-FFFF00000000}"/>
  </bookViews>
  <sheets>
    <sheet name="ProjectSchedule" sheetId="11" r:id="rId1"/>
    <sheet name="About" sheetId="12" r:id="rId2"/>
  </sheets>
  <definedNames>
    <definedName name="_xlnm.Print_Area" localSheetId="0">ProjectSchedule!$1:$37</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2" l="1"/>
  <c r="J1" i="11"/>
  <c r="H37" i="11" l="1"/>
  <c r="H36" i="11"/>
  <c r="H35" i="11"/>
  <c r="H34" i="11"/>
  <c r="H25" i="11"/>
  <c r="H24" i="11"/>
  <c r="H23" i="11"/>
  <c r="H27" i="11"/>
  <c r="H26" i="11"/>
  <c r="H19" i="11"/>
  <c r="H18" i="11"/>
  <c r="H14" i="11"/>
  <c r="H13" i="11"/>
  <c r="H12" i="11"/>
  <c r="H11" i="11"/>
  <c r="H10" i="11"/>
  <c r="H9" i="11"/>
  <c r="H8" i="11"/>
  <c r="H7" i="11"/>
  <c r="I5" i="11" l="1"/>
  <c r="I4" i="11" s="1"/>
  <c r="I6" i="11" l="1"/>
  <c r="J5" i="11" l="1"/>
  <c r="K5" i="11" s="1"/>
  <c r="L5" i="11" s="1"/>
  <c r="M5" i="11" s="1"/>
  <c r="N5" i="11" s="1"/>
  <c r="O5" i="11" s="1"/>
  <c r="P5" i="11" s="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<sst xmlns="http://schemas.openxmlformats.org/spreadsheetml/2006/main" count="74" uniqueCount="58">
  <si>
    <t>Project Start:</t>
  </si>
  <si>
    <t>Display Week:</t>
  </si>
  <si>
    <t>PROGRESS</t>
  </si>
  <si>
    <t>START</t>
  </si>
  <si>
    <t>END</t>
  </si>
  <si>
    <t>DAYS</t>
  </si>
  <si>
    <t>Phase 1 Technical</t>
  </si>
  <si>
    <t xml:space="preserve">Ava Johnson </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</si>
  <si>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</si>
  <si>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</si>
  <si>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</si>
  <si>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</si>
  <si>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</si>
  <si>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</si>
  <si>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</si>
  <si>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</si>
  <si>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</si>
  <si>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</si>
  <si>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</si>
  <si>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</si>
  <si>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</si>
  <si>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</si>
  <si>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</si>
  <si>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End:</t>
  </si>
  <si>
    <t>Week</t>
  </si>
  <si>
    <t xml:space="preserve"> </t>
  </si>
  <si>
    <t xml:space="preserve">Write full report </t>
  </si>
  <si>
    <t xml:space="preserve">Format and finalize report </t>
  </si>
  <si>
    <t>4 to 5</t>
  </si>
  <si>
    <t xml:space="preserve">TCR Violations Analysis </t>
  </si>
  <si>
    <t xml:space="preserve">Umass Amherst Water Research Team </t>
  </si>
  <si>
    <t>Review client request, rubrud, and deliverables</t>
  </si>
  <si>
    <t xml:space="preserve">Select 5 states across 5 EPA regions </t>
  </si>
  <si>
    <t xml:space="preserve">Define criteria for small vs. large systems </t>
  </si>
  <si>
    <t xml:space="preserve">Explore SDWIS interface and identify required reports </t>
  </si>
  <si>
    <t xml:space="preserve">2 to 3 </t>
  </si>
  <si>
    <t xml:space="preserve">Download TCR violation report for all 5 states </t>
  </si>
  <si>
    <t>Organize raw data files and document file structure</t>
  </si>
  <si>
    <t>Write intial python cleaning script and standardize variable names, units, and date formats</t>
  </si>
  <si>
    <t xml:space="preserve">Classify systems as small vs. large and QA/QC cleaned dataset </t>
  </si>
  <si>
    <t>Generate figures of violations vs. year for each state</t>
  </si>
  <si>
    <t>Phase 2 Data acquisition and cleaning</t>
  </si>
  <si>
    <t>Phase 3 Analysis and Visualization</t>
  </si>
  <si>
    <t xml:space="preserve">Analyse differences between small and large systems </t>
  </si>
  <si>
    <t xml:space="preserve">Sensitivity checks and refinement </t>
  </si>
  <si>
    <t>5 to 7</t>
  </si>
  <si>
    <t>Phase 4 Report Writing</t>
  </si>
  <si>
    <t>Phase 5 Deliverables and Submittal</t>
  </si>
  <si>
    <t xml:space="preserve">Create GitHub repository and folder strucutre </t>
  </si>
  <si>
    <t xml:space="preserve">7 to 8 </t>
  </si>
  <si>
    <t xml:space="preserve">Create README describing porject, data, and scrpits </t>
  </si>
  <si>
    <t xml:space="preserve">Finalize analysis scripts and annotate code </t>
  </si>
  <si>
    <t>Save final summary tables and figures</t>
  </si>
  <si>
    <t>Upload code and cleaned data to GitHub</t>
  </si>
  <si>
    <t xml:space="preserve">Upload summary tables and figures </t>
  </si>
  <si>
    <t xml:space="preserve">Upload final report to GitHub and submit </t>
  </si>
  <si>
    <t xml:space="preserve">Create summary tables of TCR violations by state over time </t>
  </si>
  <si>
    <t>Task Dependencies: The tasks in this project follow a logical sequence in which each phase builds on the work completed in the previous one. The project begins with reviewing the client request, which enables the selection of three states and the definition of system‑size criteria. Once these foundational decisions are made, the team can explore SDWIS interfaces, identify the required reports, and download the TCR violation data for all selected states. After downloading, the raw files must be organized before writing the initial Python cleaning script, which then allows the dataset to be standardized, classified by system size, and fully QA/QC‑checked. With a clean dataset prepared, the analysis phase can begin by generating summary tables, creating figures of violations over time, and comparing small versus large systems, followed by sensitivity checks to refine results. Once the analysis is complete, the full report can be drafted, then formatted and finalized. In parallel with the analytical work, the GitHub repository and README can be created, but uploading cleaned data, final scripts, figures, and the completed report depends on finishing the analysis and writing phases. Ultimately, all deliverables—including summary tables, figures, cleaned data, and the final report—are uploaded only after the analysis and report writing are fully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</si>
</sst>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sz val="12"/>
      <color theme="1"/>
      <name val="Calibri"/>
      <family val="2"/>
      <scheme val="minor"/>
    </font>
    <font>
      <sz val="8"/>
      <color theme="1"/>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1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7" fontId="12" fillId="8" borderId="0" xfId="0" applyNumberFormat="1" applyFont="1" applyFill="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3" borderId="2" xfId="2" applyFont="1" applyFill="1" applyBorder="1" applyAlignment="1">
      <alignment horizontal="center" vertical="center"/>
    </xf>
    <xf numFmtId="164" fontId="0" fillId="13" borderId="2" xfId="0" applyNumberFormat="1" applyFill="1" applyBorder="1" applyAlignment="1">
      <alignment horizontal="center" vertical="center"/>
    </xf>
    <xf numFmtId="164" fontId="5" fillId="13"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164" fontId="5" fillId="11" borderId="2" xfId="0" applyNumberFormat="1"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164" fontId="5" fillId="12"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0" fontId="30" fillId="0" borderId="0" xfId="0" applyFont="1"/>
    <xf numFmtId="0" fontId="31" fillId="13" borderId="2" xfId="0" applyFont="1" applyFill="1" applyBorder="1" applyAlignment="1">
      <alignment horizontal="center" vertical="center" wrapText="1"/>
    </xf>
    <xf numFmtId="0" fontId="0" fillId="13" borderId="2" xfId="0" applyFill="1" applyBorder="1" applyAlignment="1">
      <alignment horizontal="left" vertical="center" wrapText="1" indent="2"/>
    </xf>
    <xf numFmtId="0" fontId="0" fillId="12" borderId="2" xfId="0" applyFill="1" applyBorder="1" applyAlignment="1">
      <alignment horizontal="left" vertical="center" wrapText="1" indent="2"/>
    </xf>
    <xf numFmtId="0" fontId="0" fillId="11" borderId="2" xfId="0" applyFill="1" applyBorder="1" applyAlignment="1">
      <alignment horizontal="left" vertical="center" wrapText="1" indent="2"/>
    </xf>
    <xf numFmtId="0" fontId="0" fillId="3" borderId="2" xfId="0" applyFill="1" applyBorder="1" applyAlignment="1">
      <alignment horizontal="left" vertical="center" wrapText="1" indent="2"/>
    </xf>
    <xf numFmtId="0" fontId="0" fillId="4" borderId="2" xfId="0" applyFill="1" applyBorder="1" applyAlignment="1">
      <alignment horizontal="left" vertical="center" wrapText="1" indent="2"/>
    </xf>
    <xf numFmtId="16" fontId="0" fillId="4" borderId="2" xfId="0" applyNumberFormat="1" applyFill="1" applyBorder="1" applyAlignment="1">
      <alignment horizontal="center" vertical="center"/>
    </xf>
    <xf numFmtId="0" fontId="0" fillId="4" borderId="2" xfId="0" applyFill="1" applyBorder="1" applyAlignment="1">
      <alignment horizontal="center" vertical="center" wrapTex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166" fontId="0" fillId="8" borderId="6" xfId="0" applyNumberFormat="1" applyFill="1" applyBorder="1" applyAlignment="1">
      <alignment horizontal="left" vertical="center" wrapText="1" indent="1"/>
    </xf>
    <xf numFmtId="166" fontId="0" fillId="8" borderId="1" xfId="0" applyNumberFormat="1" applyFill="1" applyBorder="1" applyAlignment="1">
      <alignment horizontal="left" vertical="center" wrapText="1" indent="1"/>
    </xf>
    <xf numFmtId="166" fontId="0" fillId="8" borderId="7" xfId="0" applyNumberFormat="1" applyFill="1" applyBorder="1" applyAlignment="1">
      <alignment horizontal="left" vertical="center" wrapText="1" indent="1"/>
    </xf>
    <xf numFmtId="0" fontId="29" fillId="0" borderId="0" xfId="1" applyFont="1" applyAlignment="1" applyProtection="1">
      <alignment horizontal="left" vertical="center"/>
    </xf>
    <xf numFmtId="0" fontId="0" fillId="0" borderId="0" xfId="0" applyAlignment="1">
      <alignment vertical="center" wrapText="1"/>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41"/>
  <sheetViews>
    <sheetView showGridLines="0" tabSelected="1" showRuler="0" topLeftCell="A17" zoomScale="68" zoomScaleNormal="100" zoomScalePageLayoutView="70" workbookViewId="0">
      <selection activeCell="D33" sqref="D33"/>
    </sheetView>
  </sheetViews>
  <sheetFormatPr defaultRowHeight="14.5" x14ac:dyDescent="0.35"/>
  <cols>
    <col min="1" max="1" width="2.7265625" customWidth="1"/>
    <col min="2" max="2" width="34" customWidth="1"/>
    <col min="3" max="3" width="11.1796875" customWidth="1"/>
    <col min="4" max="4" width="10.7265625" customWidth="1"/>
    <col min="5" max="5" width="10.453125" style="5" customWidth="1"/>
    <col min="6" max="6" width="10.453125" customWidth="1"/>
    <col min="7" max="7" width="2.7265625" customWidth="1"/>
    <col min="8" max="8" width="6.1796875" hidden="1" customWidth="1"/>
    <col min="9" max="64" width="2.54296875" customWidth="1"/>
    <col min="65" max="65" width="118.1796875" customWidth="1"/>
    <col min="69" max="70" width="10.26953125"/>
  </cols>
  <sheetData>
    <row r="1" spans="1:65" ht="28.5" x14ac:dyDescent="0.65">
      <c r="B1" s="16" t="s">
        <v>29</v>
      </c>
      <c r="C1" s="1"/>
      <c r="D1" s="2"/>
      <c r="E1" s="4"/>
      <c r="F1" s="89"/>
      <c r="H1" s="2"/>
      <c r="I1" s="8"/>
      <c r="J1" s="108" t="str">
        <f>HYPERLINK("https://vertex42.link/HowToMakeAGanttChart","► Watch How to Make a Gantt Chart in Excel")</f>
        <v>► Watch How to Make a Gantt Chart in Excel</v>
      </c>
      <c r="K1" s="108"/>
      <c r="L1" s="108"/>
      <c r="M1" s="108"/>
      <c r="N1" s="108"/>
      <c r="O1" s="108"/>
      <c r="P1" s="108"/>
      <c r="Q1" s="108"/>
      <c r="R1" s="108"/>
      <c r="S1" s="108"/>
      <c r="T1" s="108"/>
      <c r="U1" s="108"/>
      <c r="V1" s="108"/>
      <c r="W1" s="108"/>
      <c r="X1" s="108"/>
      <c r="Y1" s="108"/>
      <c r="Z1" s="108"/>
      <c r="AA1" s="108"/>
    </row>
    <row r="2" spans="1:65" ht="19.5" customHeight="1" x14ac:dyDescent="0.45">
      <c r="B2" s="9" t="s">
        <v>30</v>
      </c>
      <c r="D2" s="6" t="s">
        <v>0</v>
      </c>
      <c r="E2" s="103">
        <v>46080</v>
      </c>
      <c r="F2" s="104"/>
    </row>
    <row r="3" spans="1:65" ht="19.5" customHeight="1" x14ac:dyDescent="0.35">
      <c r="B3" s="94" t="s">
        <v>7</v>
      </c>
      <c r="D3" s="6" t="s">
        <v>23</v>
      </c>
      <c r="E3" s="103">
        <v>46126</v>
      </c>
      <c r="F3" s="104"/>
    </row>
    <row r="4" spans="1:65" ht="19.5" customHeight="1" x14ac:dyDescent="0.35">
      <c r="B4" s="94"/>
      <c r="D4" s="6" t="s">
        <v>1</v>
      </c>
      <c r="E4" s="7">
        <v>1</v>
      </c>
      <c r="I4" s="105">
        <f>I5</f>
        <v>46076</v>
      </c>
      <c r="J4" s="106"/>
      <c r="K4" s="106"/>
      <c r="L4" s="106"/>
      <c r="M4" s="106"/>
      <c r="N4" s="106"/>
      <c r="O4" s="107"/>
      <c r="P4" s="105">
        <f>P5</f>
        <v>46083</v>
      </c>
      <c r="Q4" s="106"/>
      <c r="R4" s="106"/>
      <c r="S4" s="106"/>
      <c r="T4" s="106"/>
      <c r="U4" s="106"/>
      <c r="V4" s="107"/>
      <c r="W4" s="105">
        <f>W5</f>
        <v>46090</v>
      </c>
      <c r="X4" s="106"/>
      <c r="Y4" s="106"/>
      <c r="Z4" s="106"/>
      <c r="AA4" s="106"/>
      <c r="AB4" s="106"/>
      <c r="AC4" s="107"/>
      <c r="AD4" s="105">
        <f>AD5</f>
        <v>46097</v>
      </c>
      <c r="AE4" s="106"/>
      <c r="AF4" s="106"/>
      <c r="AG4" s="106"/>
      <c r="AH4" s="106"/>
      <c r="AI4" s="106"/>
      <c r="AJ4" s="107"/>
      <c r="AK4" s="105">
        <f>AK5</f>
        <v>46104</v>
      </c>
      <c r="AL4" s="106"/>
      <c r="AM4" s="106"/>
      <c r="AN4" s="106"/>
      <c r="AO4" s="106"/>
      <c r="AP4" s="106"/>
      <c r="AQ4" s="107"/>
      <c r="AR4" s="105">
        <f>AR5</f>
        <v>46111</v>
      </c>
      <c r="AS4" s="106"/>
      <c r="AT4" s="106"/>
      <c r="AU4" s="106"/>
      <c r="AV4" s="106"/>
      <c r="AW4" s="106"/>
      <c r="AX4" s="107"/>
      <c r="AY4" s="105">
        <f>AY5</f>
        <v>46118</v>
      </c>
      <c r="AZ4" s="106"/>
      <c r="BA4" s="106"/>
      <c r="BB4" s="106"/>
      <c r="BC4" s="106"/>
      <c r="BD4" s="106"/>
      <c r="BE4" s="107"/>
      <c r="BF4" s="105">
        <f>BF5</f>
        <v>46125</v>
      </c>
      <c r="BG4" s="106"/>
      <c r="BH4" s="106"/>
      <c r="BI4" s="106"/>
      <c r="BJ4" s="106"/>
      <c r="BK4" s="106"/>
      <c r="BL4" s="107"/>
    </row>
    <row r="5" spans="1:65" x14ac:dyDescent="0.35">
      <c r="A5" s="6"/>
      <c r="G5" s="6"/>
      <c r="I5" s="13">
        <f>E2-WEEKDAY(E2,1)+2+7*(E4-1)</f>
        <v>46076</v>
      </c>
      <c r="J5" s="12">
        <f>I5+1</f>
        <v>46077</v>
      </c>
      <c r="K5" s="12">
        <f t="shared" ref="K5:AX5" si="0">J5+1</f>
        <v>46078</v>
      </c>
      <c r="L5" s="12">
        <f t="shared" si="0"/>
        <v>46079</v>
      </c>
      <c r="M5" s="12">
        <f t="shared" si="0"/>
        <v>46080</v>
      </c>
      <c r="N5" s="12">
        <f t="shared" si="0"/>
        <v>46081</v>
      </c>
      <c r="O5" s="14">
        <f t="shared" si="0"/>
        <v>46082</v>
      </c>
      <c r="P5" s="13">
        <f>O5+1</f>
        <v>46083</v>
      </c>
      <c r="Q5" s="12">
        <f>P5+1</f>
        <v>46084</v>
      </c>
      <c r="R5" s="12">
        <f t="shared" si="0"/>
        <v>46085</v>
      </c>
      <c r="S5" s="12">
        <f t="shared" si="0"/>
        <v>46086</v>
      </c>
      <c r="T5" s="12">
        <f t="shared" si="0"/>
        <v>46087</v>
      </c>
      <c r="U5" s="12">
        <f t="shared" si="0"/>
        <v>46088</v>
      </c>
      <c r="V5" s="14">
        <f t="shared" si="0"/>
        <v>46089</v>
      </c>
      <c r="W5" s="13">
        <f>V5+1</f>
        <v>46090</v>
      </c>
      <c r="X5" s="12">
        <f>W5+1</f>
        <v>46091</v>
      </c>
      <c r="Y5" s="12">
        <f t="shared" si="0"/>
        <v>46092</v>
      </c>
      <c r="Z5" s="12">
        <f t="shared" si="0"/>
        <v>46093</v>
      </c>
      <c r="AA5" s="12">
        <f t="shared" si="0"/>
        <v>46094</v>
      </c>
      <c r="AB5" s="12">
        <f t="shared" si="0"/>
        <v>46095</v>
      </c>
      <c r="AC5" s="14">
        <f t="shared" si="0"/>
        <v>46096</v>
      </c>
      <c r="AD5" s="13">
        <f>AC5+1</f>
        <v>46097</v>
      </c>
      <c r="AE5" s="12">
        <f>AD5+1</f>
        <v>46098</v>
      </c>
      <c r="AF5" s="12">
        <f t="shared" si="0"/>
        <v>46099</v>
      </c>
      <c r="AG5" s="12">
        <f t="shared" si="0"/>
        <v>46100</v>
      </c>
      <c r="AH5" s="12">
        <f t="shared" si="0"/>
        <v>46101</v>
      </c>
      <c r="AI5" s="12">
        <f t="shared" si="0"/>
        <v>46102</v>
      </c>
      <c r="AJ5" s="14">
        <f t="shared" si="0"/>
        <v>46103</v>
      </c>
      <c r="AK5" s="13">
        <f>AJ5+1</f>
        <v>46104</v>
      </c>
      <c r="AL5" s="12">
        <f>AK5+1</f>
        <v>46105</v>
      </c>
      <c r="AM5" s="12">
        <f t="shared" si="0"/>
        <v>46106</v>
      </c>
      <c r="AN5" s="12">
        <f t="shared" si="0"/>
        <v>46107</v>
      </c>
      <c r="AO5" s="12">
        <f t="shared" si="0"/>
        <v>46108</v>
      </c>
      <c r="AP5" s="12">
        <f t="shared" si="0"/>
        <v>46109</v>
      </c>
      <c r="AQ5" s="14">
        <f t="shared" si="0"/>
        <v>46110</v>
      </c>
      <c r="AR5" s="13">
        <f>AQ5+1</f>
        <v>46111</v>
      </c>
      <c r="AS5" s="12">
        <f>AR5+1</f>
        <v>46112</v>
      </c>
      <c r="AT5" s="12">
        <f t="shared" si="0"/>
        <v>46113</v>
      </c>
      <c r="AU5" s="12">
        <f t="shared" si="0"/>
        <v>46114</v>
      </c>
      <c r="AV5" s="12">
        <f t="shared" si="0"/>
        <v>46115</v>
      </c>
      <c r="AW5" s="12">
        <f t="shared" si="0"/>
        <v>46116</v>
      </c>
      <c r="AX5" s="14">
        <f t="shared" si="0"/>
        <v>46117</v>
      </c>
      <c r="AY5" s="13">
        <f t="shared" ref="AY5:BL5" si="1">AX5+1</f>
        <v>46118</v>
      </c>
      <c r="AZ5" s="12">
        <f t="shared" si="1"/>
        <v>46119</v>
      </c>
      <c r="BA5" s="12">
        <f t="shared" si="1"/>
        <v>46120</v>
      </c>
      <c r="BB5" s="12">
        <f t="shared" si="1"/>
        <v>46121</v>
      </c>
      <c r="BC5" s="12">
        <f t="shared" si="1"/>
        <v>46122</v>
      </c>
      <c r="BD5" s="12">
        <f t="shared" si="1"/>
        <v>46123</v>
      </c>
      <c r="BE5" s="14">
        <f t="shared" si="1"/>
        <v>46124</v>
      </c>
      <c r="BF5" s="13">
        <f t="shared" si="1"/>
        <v>46125</v>
      </c>
      <c r="BG5" s="12">
        <f t="shared" si="1"/>
        <v>46126</v>
      </c>
      <c r="BH5" s="12">
        <f t="shared" si="1"/>
        <v>46127</v>
      </c>
      <c r="BI5" s="12">
        <f t="shared" si="1"/>
        <v>46128</v>
      </c>
      <c r="BJ5" s="12">
        <f t="shared" si="1"/>
        <v>46129</v>
      </c>
      <c r="BK5" s="12">
        <f t="shared" si="1"/>
        <v>46130</v>
      </c>
      <c r="BL5" s="14">
        <f t="shared" si="1"/>
        <v>46131</v>
      </c>
    </row>
    <row r="6" spans="1:65" ht="29.25" customHeight="1" thickBot="1" x14ac:dyDescent="0.4">
      <c r="A6" s="19"/>
      <c r="B6" s="10" t="s">
        <v>25</v>
      </c>
      <c r="C6" s="11" t="s">
        <v>24</v>
      </c>
      <c r="D6" s="11" t="s">
        <v>2</v>
      </c>
      <c r="E6" s="11" t="s">
        <v>3</v>
      </c>
      <c r="F6" s="11" t="s">
        <v>4</v>
      </c>
      <c r="G6" s="11"/>
      <c r="H6" s="11" t="s">
        <v>5</v>
      </c>
      <c r="I6" s="15" t="str">
        <f>LEFT(TEXT(I5,"ddd"),1)</f>
        <v>M</v>
      </c>
      <c r="J6" s="15" t="str">
        <f t="shared" ref="J6:AR6" si="2">LEFT(TEXT(J5,"ddd"),1)</f>
        <v>T</v>
      </c>
      <c r="K6" s="15" t="str">
        <f t="shared" si="2"/>
        <v>W</v>
      </c>
      <c r="L6" s="15" t="str">
        <f t="shared" si="2"/>
        <v>T</v>
      </c>
      <c r="M6" s="15" t="str">
        <f t="shared" si="2"/>
        <v>F</v>
      </c>
      <c r="N6" s="15" t="str">
        <f t="shared" si="2"/>
        <v>S</v>
      </c>
      <c r="O6" s="15" t="str">
        <f t="shared" si="2"/>
        <v>S</v>
      </c>
      <c r="P6" s="15" t="str">
        <f t="shared" si="2"/>
        <v>M</v>
      </c>
      <c r="Q6" s="15" t="str">
        <f t="shared" si="2"/>
        <v>T</v>
      </c>
      <c r="R6" s="15" t="str">
        <f t="shared" si="2"/>
        <v>W</v>
      </c>
      <c r="S6" s="15" t="str">
        <f t="shared" si="2"/>
        <v>T</v>
      </c>
      <c r="T6" s="15" t="str">
        <f t="shared" si="2"/>
        <v>F</v>
      </c>
      <c r="U6" s="15" t="str">
        <f t="shared" si="2"/>
        <v>S</v>
      </c>
      <c r="V6" s="15" t="str">
        <f t="shared" si="2"/>
        <v>S</v>
      </c>
      <c r="W6" s="15" t="str">
        <f t="shared" si="2"/>
        <v>M</v>
      </c>
      <c r="X6" s="15" t="str">
        <f t="shared" si="2"/>
        <v>T</v>
      </c>
      <c r="Y6" s="15" t="str">
        <f t="shared" si="2"/>
        <v>W</v>
      </c>
      <c r="Z6" s="15" t="str">
        <f t="shared" si="2"/>
        <v>T</v>
      </c>
      <c r="AA6" s="15" t="str">
        <f t="shared" si="2"/>
        <v>F</v>
      </c>
      <c r="AB6" s="15" t="str">
        <f t="shared" si="2"/>
        <v>S</v>
      </c>
      <c r="AC6" s="15" t="str">
        <f t="shared" si="2"/>
        <v>S</v>
      </c>
      <c r="AD6" s="15" t="str">
        <f t="shared" si="2"/>
        <v>M</v>
      </c>
      <c r="AE6" s="15" t="str">
        <f t="shared" si="2"/>
        <v>T</v>
      </c>
      <c r="AF6" s="15" t="str">
        <f t="shared" si="2"/>
        <v>W</v>
      </c>
      <c r="AG6" s="15" t="str">
        <f t="shared" si="2"/>
        <v>T</v>
      </c>
      <c r="AH6" s="15" t="str">
        <f t="shared" si="2"/>
        <v>F</v>
      </c>
      <c r="AI6" s="15" t="str">
        <f t="shared" si="2"/>
        <v>S</v>
      </c>
      <c r="AJ6" s="15" t="str">
        <f t="shared" si="2"/>
        <v>S</v>
      </c>
      <c r="AK6" s="15" t="str">
        <f t="shared" si="2"/>
        <v>M</v>
      </c>
      <c r="AL6" s="15" t="str">
        <f t="shared" si="2"/>
        <v>T</v>
      </c>
      <c r="AM6" s="15" t="str">
        <f t="shared" si="2"/>
        <v>W</v>
      </c>
      <c r="AN6" s="15" t="str">
        <f t="shared" si="2"/>
        <v>T</v>
      </c>
      <c r="AO6" s="15" t="str">
        <f t="shared" si="2"/>
        <v>F</v>
      </c>
      <c r="AP6" s="15" t="str">
        <f t="shared" si="2"/>
        <v>S</v>
      </c>
      <c r="AQ6" s="15" t="str">
        <f t="shared" si="2"/>
        <v>S</v>
      </c>
      <c r="AR6" s="15" t="str">
        <f t="shared" si="2"/>
        <v>M</v>
      </c>
      <c r="AS6" s="15" t="str">
        <f t="shared" ref="AS6:BL6" si="3">LEFT(TEXT(AS5,"ddd"),1)</f>
        <v>T</v>
      </c>
      <c r="AT6" s="15" t="str">
        <f t="shared" si="3"/>
        <v>W</v>
      </c>
      <c r="AU6" s="15" t="str">
        <f t="shared" si="3"/>
        <v>T</v>
      </c>
      <c r="AV6" s="15" t="str">
        <f t="shared" si="3"/>
        <v>F</v>
      </c>
      <c r="AW6" s="15" t="str">
        <f t="shared" si="3"/>
        <v>S</v>
      </c>
      <c r="AX6" s="15" t="str">
        <f t="shared" si="3"/>
        <v>S</v>
      </c>
      <c r="AY6" s="15" t="str">
        <f t="shared" si="3"/>
        <v>M</v>
      </c>
      <c r="AZ6" s="15" t="str">
        <f t="shared" si="3"/>
        <v>T</v>
      </c>
      <c r="BA6" s="15" t="str">
        <f t="shared" si="3"/>
        <v>W</v>
      </c>
      <c r="BB6" s="15" t="str">
        <f t="shared" si="3"/>
        <v>T</v>
      </c>
      <c r="BC6" s="15" t="str">
        <f t="shared" si="3"/>
        <v>F</v>
      </c>
      <c r="BD6" s="15" t="str">
        <f t="shared" si="3"/>
        <v>S</v>
      </c>
      <c r="BE6" s="15" t="str">
        <f t="shared" si="3"/>
        <v>S</v>
      </c>
      <c r="BF6" s="15" t="str">
        <f t="shared" si="3"/>
        <v>M</v>
      </c>
      <c r="BG6" s="15" t="str">
        <f t="shared" si="3"/>
        <v>T</v>
      </c>
      <c r="BH6" s="15" t="str">
        <f t="shared" si="3"/>
        <v>W</v>
      </c>
      <c r="BI6" s="15" t="str">
        <f t="shared" si="3"/>
        <v>T</v>
      </c>
      <c r="BJ6" s="15" t="str">
        <f t="shared" si="3"/>
        <v>F</v>
      </c>
      <c r="BK6" s="15" t="str">
        <f t="shared" si="3"/>
        <v>S</v>
      </c>
      <c r="BL6" s="15" t="str">
        <f t="shared" si="3"/>
        <v>S</v>
      </c>
    </row>
    <row r="7" spans="1:65" s="3" customFormat="1" ht="21.5" thickBot="1" x14ac:dyDescent="0.4">
      <c r="A7" s="19"/>
      <c r="B7" s="20"/>
      <c r="C7" s="21"/>
      <c r="D7" s="22"/>
      <c r="E7" s="23"/>
      <c r="F7" s="24"/>
      <c r="G7" s="25"/>
      <c r="H7" s="25" t="str">
        <f t="shared" ref="H7:H37" si="4">IF(OR(ISBLANK(task_start),ISBLANK(task_end)),"",task_end-task_start+1)</f>
        <v/>
      </c>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5"/>
      <c r="BJ7" s="75"/>
      <c r="BK7" s="75"/>
      <c r="BL7" s="75"/>
    </row>
    <row r="8" spans="1:65" s="3" customFormat="1" ht="21.5" thickBot="1" x14ac:dyDescent="0.4">
      <c r="A8" s="19"/>
      <c r="B8" s="26" t="s">
        <v>6</v>
      </c>
      <c r="C8" s="27"/>
      <c r="D8" s="28"/>
      <c r="E8" s="29"/>
      <c r="F8" s="30"/>
      <c r="G8" s="25"/>
      <c r="H8" s="25" t="str">
        <f t="shared" si="4"/>
        <v/>
      </c>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c r="BJ8" s="75"/>
      <c r="BK8" s="75"/>
      <c r="BL8" s="75"/>
    </row>
    <row r="9" spans="1:65" s="3" customFormat="1" ht="29.5" thickBot="1" x14ac:dyDescent="0.4">
      <c r="A9" s="19"/>
      <c r="B9" s="99" t="s">
        <v>31</v>
      </c>
      <c r="C9" s="31">
        <v>1</v>
      </c>
      <c r="D9" s="32">
        <v>1</v>
      </c>
      <c r="E9" s="33">
        <v>46080</v>
      </c>
      <c r="F9" s="34">
        <v>46086</v>
      </c>
      <c r="G9" s="25"/>
      <c r="H9" s="25">
        <f t="shared" si="4"/>
        <v>7</v>
      </c>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row>
    <row r="10" spans="1:65" s="3" customFormat="1" ht="21.5" thickBot="1" x14ac:dyDescent="0.4">
      <c r="A10" s="19"/>
      <c r="B10" s="99" t="s">
        <v>32</v>
      </c>
      <c r="C10" s="31">
        <v>1</v>
      </c>
      <c r="D10" s="32">
        <v>1</v>
      </c>
      <c r="E10" s="33">
        <v>46088</v>
      </c>
      <c r="F10" s="34">
        <v>46090</v>
      </c>
      <c r="G10" s="25"/>
      <c r="H10" s="25">
        <f t="shared" si="4"/>
        <v>3</v>
      </c>
      <c r="I10" s="75"/>
      <c r="J10" s="75"/>
      <c r="K10" s="75"/>
      <c r="L10" s="75"/>
      <c r="M10" s="75"/>
      <c r="N10" s="75"/>
      <c r="O10" s="75"/>
      <c r="P10" s="75"/>
      <c r="Q10" s="75"/>
      <c r="R10" s="75"/>
      <c r="S10" s="75"/>
      <c r="T10" s="75"/>
      <c r="U10" s="76"/>
      <c r="V10" s="76"/>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row>
    <row r="11" spans="1:65" s="3" customFormat="1" ht="29.5" thickBot="1" x14ac:dyDescent="0.4">
      <c r="A11" s="19"/>
      <c r="B11" s="99" t="s">
        <v>33</v>
      </c>
      <c r="C11" s="31">
        <v>1</v>
      </c>
      <c r="D11" s="32">
        <v>1</v>
      </c>
      <c r="E11" s="33">
        <v>46088</v>
      </c>
      <c r="F11" s="34">
        <v>46090</v>
      </c>
      <c r="G11" s="25"/>
      <c r="H11" s="25">
        <f t="shared" si="4"/>
        <v>3</v>
      </c>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row>
    <row r="12" spans="1:65" s="3" customFormat="1" ht="21.5" thickBot="1" x14ac:dyDescent="0.4">
      <c r="A12" s="19"/>
      <c r="B12" s="35" t="s">
        <v>41</v>
      </c>
      <c r="C12" s="36"/>
      <c r="D12" s="37"/>
      <c r="E12" s="38"/>
      <c r="F12" s="39"/>
      <c r="G12" s="25"/>
      <c r="H12" s="25" t="str">
        <f t="shared" si="4"/>
        <v/>
      </c>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row>
    <row r="13" spans="1:65" s="3" customFormat="1" ht="29.5" thickBot="1" x14ac:dyDescent="0.4">
      <c r="A13" s="19"/>
      <c r="B13" s="100" t="s">
        <v>34</v>
      </c>
      <c r="C13" s="101" t="s">
        <v>35</v>
      </c>
      <c r="D13" s="40">
        <v>1</v>
      </c>
      <c r="E13" s="41">
        <v>46090</v>
      </c>
      <c r="F13" s="42">
        <v>46103</v>
      </c>
      <c r="G13" s="25"/>
      <c r="H13" s="25">
        <f t="shared" si="4"/>
        <v>14</v>
      </c>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row>
    <row r="14" spans="1:65" s="3" customFormat="1" ht="29.5" thickBot="1" x14ac:dyDescent="0.4">
      <c r="A14" s="19"/>
      <c r="B14" s="100" t="s">
        <v>36</v>
      </c>
      <c r="C14" s="102" t="s">
        <v>35</v>
      </c>
      <c r="D14" s="40">
        <v>1</v>
      </c>
      <c r="E14" s="41">
        <v>46090</v>
      </c>
      <c r="F14" s="42">
        <v>46103</v>
      </c>
      <c r="G14" s="25"/>
      <c r="H14" s="25">
        <f t="shared" si="4"/>
        <v>14</v>
      </c>
      <c r="I14" s="75"/>
      <c r="J14" s="75"/>
      <c r="K14" s="75"/>
      <c r="L14" s="75"/>
      <c r="M14" s="75"/>
      <c r="N14" s="75"/>
      <c r="O14" s="75"/>
      <c r="P14" s="75"/>
      <c r="Q14" s="75"/>
      <c r="R14" s="75"/>
      <c r="S14" s="75"/>
      <c r="T14" s="75"/>
      <c r="U14" s="76"/>
      <c r="V14" s="76"/>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row>
    <row r="15" spans="1:65" s="3" customFormat="1" ht="145.5" thickBot="1" x14ac:dyDescent="0.4">
      <c r="A15" s="19"/>
      <c r="B15" s="100" t="s">
        <v>37</v>
      </c>
      <c r="C15" s="102" t="s">
        <v>35</v>
      </c>
      <c r="D15" s="40">
        <v>1</v>
      </c>
      <c r="E15" s="41">
        <v>46090</v>
      </c>
      <c r="F15" s="42">
        <v>46103</v>
      </c>
      <c r="G15" s="25"/>
      <c r="H15" s="25"/>
      <c r="I15" s="75"/>
      <c r="J15" s="75"/>
      <c r="K15" s="75"/>
      <c r="L15" s="75"/>
      <c r="M15" s="75"/>
      <c r="N15" s="75"/>
      <c r="O15" s="75"/>
      <c r="P15" s="75"/>
      <c r="Q15" s="75"/>
      <c r="R15" s="75"/>
      <c r="S15" s="75"/>
      <c r="T15" s="75"/>
      <c r="U15" s="76"/>
      <c r="V15" s="76"/>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109" t="s">
        <v>57</v>
      </c>
    </row>
    <row r="16" spans="1:65" s="3" customFormat="1" ht="44" thickBot="1" x14ac:dyDescent="0.4">
      <c r="A16" s="19"/>
      <c r="B16" s="100" t="s">
        <v>38</v>
      </c>
      <c r="C16" s="102" t="s">
        <v>35</v>
      </c>
      <c r="D16" s="40">
        <v>1</v>
      </c>
      <c r="E16" s="41">
        <v>46090</v>
      </c>
      <c r="F16" s="42">
        <v>46103</v>
      </c>
      <c r="G16" s="25"/>
      <c r="H16" s="25"/>
      <c r="I16" s="75"/>
      <c r="J16" s="75"/>
      <c r="K16" s="75"/>
      <c r="L16" s="75"/>
      <c r="M16" s="75"/>
      <c r="N16" s="75"/>
      <c r="O16" s="75"/>
      <c r="P16" s="75"/>
      <c r="Q16" s="75"/>
      <c r="R16" s="75"/>
      <c r="S16" s="75"/>
      <c r="T16" s="75"/>
      <c r="U16" s="76"/>
      <c r="V16" s="76"/>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row>
    <row r="17" spans="1:64" s="3" customFormat="1" ht="29.5" thickBot="1" x14ac:dyDescent="0.4">
      <c r="A17" s="19"/>
      <c r="B17" s="100" t="s">
        <v>39</v>
      </c>
      <c r="C17" s="102" t="s">
        <v>35</v>
      </c>
      <c r="D17" s="40">
        <v>1</v>
      </c>
      <c r="E17" s="41">
        <v>46090</v>
      </c>
      <c r="F17" s="42">
        <v>46103</v>
      </c>
      <c r="G17" s="25"/>
      <c r="H17" s="25"/>
      <c r="I17" s="75"/>
      <c r="J17" s="75"/>
      <c r="K17" s="75"/>
      <c r="L17" s="75"/>
      <c r="M17" s="75"/>
      <c r="N17" s="75"/>
      <c r="O17" s="75"/>
      <c r="P17" s="75"/>
      <c r="Q17" s="75"/>
      <c r="R17" s="75"/>
      <c r="S17" s="75"/>
      <c r="T17" s="75"/>
      <c r="U17" s="76"/>
      <c r="V17" s="76"/>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row>
    <row r="18" spans="1:64" s="3" customFormat="1" ht="21.5" thickBot="1" x14ac:dyDescent="0.4">
      <c r="A18" s="19"/>
      <c r="B18" s="43" t="s">
        <v>42</v>
      </c>
      <c r="C18" s="44"/>
      <c r="D18" s="45"/>
      <c r="E18" s="46"/>
      <c r="F18" s="47"/>
      <c r="G18" s="25"/>
      <c r="H18" s="25" t="str">
        <f t="shared" si="4"/>
        <v/>
      </c>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row>
    <row r="19" spans="1:64" s="3" customFormat="1" ht="29.5" thickBot="1" x14ac:dyDescent="0.4">
      <c r="A19" s="19"/>
      <c r="B19" s="96" t="s">
        <v>56</v>
      </c>
      <c r="C19" s="95" t="s">
        <v>28</v>
      </c>
      <c r="D19" s="48">
        <v>1</v>
      </c>
      <c r="E19" s="49">
        <v>46107</v>
      </c>
      <c r="F19" s="50">
        <v>46117</v>
      </c>
      <c r="G19" s="25"/>
      <c r="H19" s="25">
        <f t="shared" si="4"/>
        <v>11</v>
      </c>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row>
    <row r="20" spans="1:64" s="3" customFormat="1" ht="29.5" customHeight="1" thickBot="1" x14ac:dyDescent="0.4">
      <c r="A20" s="19"/>
      <c r="B20" s="96" t="s">
        <v>40</v>
      </c>
      <c r="C20" s="95" t="s">
        <v>28</v>
      </c>
      <c r="D20" s="48">
        <v>1</v>
      </c>
      <c r="E20" s="49">
        <v>46107</v>
      </c>
      <c r="F20" s="50">
        <v>46117</v>
      </c>
      <c r="G20" s="25"/>
      <c r="H20" s="2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row>
    <row r="21" spans="1:64" s="3" customFormat="1" ht="29.5" customHeight="1" thickBot="1" x14ac:dyDescent="0.4">
      <c r="A21" s="19"/>
      <c r="B21" s="96" t="s">
        <v>43</v>
      </c>
      <c r="C21" s="95" t="s">
        <v>28</v>
      </c>
      <c r="D21" s="48">
        <v>1</v>
      </c>
      <c r="E21" s="49">
        <v>46107</v>
      </c>
      <c r="F21" s="50">
        <v>46117</v>
      </c>
      <c r="G21" s="25"/>
      <c r="H21" s="2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row>
    <row r="22" spans="1:64" s="3" customFormat="1" ht="29.5" customHeight="1" thickBot="1" x14ac:dyDescent="0.4">
      <c r="A22" s="19"/>
      <c r="B22" s="96" t="s">
        <v>44</v>
      </c>
      <c r="C22" s="95" t="s">
        <v>28</v>
      </c>
      <c r="D22" s="48">
        <v>1</v>
      </c>
      <c r="E22" s="49">
        <v>46107</v>
      </c>
      <c r="F22" s="50">
        <v>46117</v>
      </c>
      <c r="G22" s="25"/>
      <c r="H22" s="2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row>
    <row r="23" spans="1:64" s="3" customFormat="1" ht="21.5" thickBot="1" x14ac:dyDescent="0.4">
      <c r="A23" s="19"/>
      <c r="B23" s="60" t="s">
        <v>46</v>
      </c>
      <c r="C23" s="61"/>
      <c r="D23" s="62"/>
      <c r="E23" s="63"/>
      <c r="F23" s="64"/>
      <c r="G23" s="25"/>
      <c r="H23" s="25" t="str">
        <f t="shared" si="4"/>
        <v/>
      </c>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row>
    <row r="24" spans="1:64" s="3" customFormat="1" ht="21.5" thickBot="1" x14ac:dyDescent="0.4">
      <c r="A24" s="19"/>
      <c r="B24" s="97" t="s">
        <v>26</v>
      </c>
      <c r="C24" s="65" t="s">
        <v>45</v>
      </c>
      <c r="D24" s="66">
        <v>1</v>
      </c>
      <c r="E24" s="67">
        <v>46107</v>
      </c>
      <c r="F24" s="68">
        <v>46120</v>
      </c>
      <c r="G24" s="25"/>
      <c r="H24" s="25">
        <f t="shared" si="4"/>
        <v>14</v>
      </c>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row>
    <row r="25" spans="1:64" s="3" customFormat="1" ht="21.5" thickBot="1" x14ac:dyDescent="0.4">
      <c r="A25" s="19"/>
      <c r="B25" s="97" t="s">
        <v>27</v>
      </c>
      <c r="C25" s="65">
        <v>7</v>
      </c>
      <c r="D25" s="66">
        <v>1</v>
      </c>
      <c r="E25" s="67">
        <v>46123</v>
      </c>
      <c r="F25" s="68">
        <v>46125</v>
      </c>
      <c r="G25" s="25"/>
      <c r="H25" s="25">
        <f t="shared" si="4"/>
        <v>3</v>
      </c>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row>
    <row r="26" spans="1:64" s="3" customFormat="1" ht="21.5" thickBot="1" x14ac:dyDescent="0.4">
      <c r="A26" s="19"/>
      <c r="B26" s="51" t="s">
        <v>47</v>
      </c>
      <c r="C26" s="52"/>
      <c r="D26" s="53"/>
      <c r="E26" s="54"/>
      <c r="F26" s="55"/>
      <c r="G26" s="25"/>
      <c r="H26" s="25" t="str">
        <f t="shared" si="4"/>
        <v/>
      </c>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row>
    <row r="27" spans="1:64" s="3" customFormat="1" ht="29.5" thickBot="1" x14ac:dyDescent="0.4">
      <c r="A27" s="19"/>
      <c r="B27" s="98" t="s">
        <v>48</v>
      </c>
      <c r="C27" s="56" t="s">
        <v>49</v>
      </c>
      <c r="D27" s="57">
        <v>1</v>
      </c>
      <c r="E27" s="58">
        <v>46096</v>
      </c>
      <c r="F27" s="59">
        <v>46099</v>
      </c>
      <c r="G27" s="25"/>
      <c r="H27" s="25">
        <f t="shared" si="4"/>
        <v>4</v>
      </c>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row>
    <row r="28" spans="1:64" s="3" customFormat="1" ht="29.5" thickBot="1" x14ac:dyDescent="0.4">
      <c r="A28" s="19"/>
      <c r="B28" s="98" t="s">
        <v>50</v>
      </c>
      <c r="C28" s="56" t="s">
        <v>49</v>
      </c>
      <c r="D28" s="57">
        <v>1</v>
      </c>
      <c r="E28" s="58">
        <v>46099</v>
      </c>
      <c r="F28" s="59">
        <v>46102</v>
      </c>
      <c r="G28" s="25"/>
      <c r="H28" s="2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row>
    <row r="29" spans="1:64" s="3" customFormat="1" ht="29.5" thickBot="1" x14ac:dyDescent="0.4">
      <c r="A29" s="19"/>
      <c r="B29" s="98" t="s">
        <v>51</v>
      </c>
      <c r="C29" s="56" t="s">
        <v>49</v>
      </c>
      <c r="D29" s="57">
        <v>1</v>
      </c>
      <c r="E29" s="58">
        <v>46115</v>
      </c>
      <c r="F29" s="59">
        <v>46120</v>
      </c>
      <c r="G29" s="25"/>
      <c r="H29" s="2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5"/>
      <c r="BJ29" s="75"/>
      <c r="BK29" s="75"/>
      <c r="BL29" s="75"/>
    </row>
    <row r="30" spans="1:64" s="3" customFormat="1" ht="29.5" thickBot="1" x14ac:dyDescent="0.4">
      <c r="A30" s="19"/>
      <c r="B30" s="98" t="s">
        <v>52</v>
      </c>
      <c r="C30" s="56" t="s">
        <v>49</v>
      </c>
      <c r="D30" s="57">
        <v>1</v>
      </c>
      <c r="E30" s="58">
        <v>46118</v>
      </c>
      <c r="F30" s="59">
        <v>46121</v>
      </c>
      <c r="G30" s="25"/>
      <c r="H30" s="2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row>
    <row r="31" spans="1:64" s="3" customFormat="1" ht="29.5" thickBot="1" x14ac:dyDescent="0.4">
      <c r="A31" s="19"/>
      <c r="B31" s="98" t="s">
        <v>53</v>
      </c>
      <c r="C31" s="56" t="s">
        <v>49</v>
      </c>
      <c r="D31" s="57">
        <v>1</v>
      </c>
      <c r="E31" s="58">
        <v>46125</v>
      </c>
      <c r="F31" s="59">
        <v>46126</v>
      </c>
      <c r="G31" s="25"/>
      <c r="H31" s="2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row>
    <row r="32" spans="1:64" s="3" customFormat="1" ht="21.5" thickBot="1" x14ac:dyDescent="0.4">
      <c r="A32" s="19"/>
      <c r="B32" s="98" t="s">
        <v>54</v>
      </c>
      <c r="C32" s="56" t="s">
        <v>49</v>
      </c>
      <c r="D32" s="57">
        <v>1</v>
      </c>
      <c r="E32" s="58">
        <v>46126</v>
      </c>
      <c r="F32" s="59">
        <v>46126</v>
      </c>
      <c r="G32" s="25"/>
      <c r="H32" s="2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5"/>
      <c r="BK32" s="75"/>
      <c r="BL32" s="75"/>
    </row>
    <row r="33" spans="1:65" s="3" customFormat="1" ht="29.5" thickBot="1" x14ac:dyDescent="0.4">
      <c r="A33" s="19"/>
      <c r="B33" s="98" t="s">
        <v>55</v>
      </c>
      <c r="C33" s="56" t="s">
        <v>49</v>
      </c>
      <c r="D33" s="57">
        <v>1</v>
      </c>
      <c r="E33" s="58">
        <v>46126</v>
      </c>
      <c r="F33" s="59">
        <v>46126</v>
      </c>
      <c r="G33" s="25"/>
      <c r="H33" s="2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row>
    <row r="34" spans="1:65" s="3" customFormat="1" ht="21.5" thickBot="1" x14ac:dyDescent="0.4">
      <c r="A34" s="19"/>
      <c r="B34" s="20"/>
      <c r="C34" s="21"/>
      <c r="D34" s="22"/>
      <c r="E34" s="23"/>
      <c r="F34" s="24"/>
      <c r="G34" s="25"/>
      <c r="H34" s="25" t="str">
        <f t="shared" si="4"/>
        <v/>
      </c>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row>
    <row r="35" spans="1:65" s="3" customFormat="1" ht="21.5" thickBot="1" x14ac:dyDescent="0.4">
      <c r="A35" s="19"/>
      <c r="C35" s="21"/>
      <c r="D35" s="22"/>
      <c r="E35" s="23"/>
      <c r="F35" s="24"/>
      <c r="G35" s="25"/>
      <c r="H35" s="25" t="str">
        <f t="shared" si="4"/>
        <v/>
      </c>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5"/>
      <c r="BJ35" s="75"/>
      <c r="BK35" s="75"/>
      <c r="BL35" s="75"/>
    </row>
    <row r="36" spans="1:65" s="3" customFormat="1" ht="21.5" thickBot="1" x14ac:dyDescent="0.4">
      <c r="A36" s="19"/>
      <c r="B36" s="20"/>
      <c r="C36" s="21"/>
      <c r="D36" s="22"/>
      <c r="E36" s="23"/>
      <c r="F36" s="24"/>
      <c r="G36" s="25"/>
      <c r="H36" s="25" t="str">
        <f t="shared" si="4"/>
        <v/>
      </c>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row>
    <row r="37" spans="1:65" s="3" customFormat="1" ht="21.5" thickBot="1" x14ac:dyDescent="0.4">
      <c r="A37" s="19"/>
      <c r="B37" s="69" t="s">
        <v>8</v>
      </c>
      <c r="C37" s="70"/>
      <c r="D37" s="71"/>
      <c r="E37" s="72"/>
      <c r="F37" s="73"/>
      <c r="G37" s="74"/>
      <c r="H37" s="74" t="str">
        <f t="shared" si="4"/>
        <v/>
      </c>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row>
    <row r="38" spans="1:65" x14ac:dyDescent="0.35">
      <c r="A38" s="6"/>
      <c r="G38" s="6"/>
      <c r="BM38" s="3"/>
    </row>
    <row r="39" spans="1:65" x14ac:dyDescent="0.35">
      <c r="B39" s="17" t="s">
        <v>9</v>
      </c>
      <c r="C39" s="17"/>
      <c r="F39" s="88">
        <v>43113</v>
      </c>
    </row>
    <row r="40" spans="1:65" x14ac:dyDescent="0.35">
      <c r="B40" s="92" t="s">
        <v>10</v>
      </c>
      <c r="C40" s="18"/>
    </row>
    <row r="41" spans="1:65" x14ac:dyDescent="0.35">
      <c r="B41" s="91" t="s">
        <v>11</v>
      </c>
    </row>
  </sheetData>
  <mergeCells count="11">
    <mergeCell ref="J1:AA1"/>
    <mergeCell ref="AK4:AQ4"/>
    <mergeCell ref="AR4:AX4"/>
    <mergeCell ref="AY4:BE4"/>
    <mergeCell ref="BF4:BL4"/>
    <mergeCell ref="E2:F2"/>
    <mergeCell ref="I4:O4"/>
    <mergeCell ref="P4:V4"/>
    <mergeCell ref="W4:AC4"/>
    <mergeCell ref="AD4:AJ4"/>
    <mergeCell ref="E3:F3"/>
  </mergeCells>
  <conditionalFormatting sqref="D7:D37">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7">
    <cfRule type="expression" dxfId="2" priority="27">
      <formula>AND(today&gt;=I$5,today&lt;I$5+1)</formula>
    </cfRule>
  </conditionalFormatting>
  <conditionalFormatting sqref="I7:BL37">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40" r:id="rId1" xr:uid="{00000000-0004-0000-0000-000000000000}"/>
    <hyperlink ref="B39"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796875" defaultRowHeight="13" x14ac:dyDescent="0.3"/>
  <cols>
    <col min="1" max="1" width="2.81640625" style="2" customWidth="1"/>
    <col min="2" max="2" width="87.1796875" style="78" customWidth="1"/>
    <col min="3" max="16384" width="9.1796875" style="2"/>
  </cols>
  <sheetData>
    <row r="1" spans="2:3" ht="46.5" customHeight="1" x14ac:dyDescent="0.3"/>
    <row r="2" spans="2:3" s="80" customFormat="1" ht="15.5" x14ac:dyDescent="0.35">
      <c r="B2" s="79" t="s">
        <v>9</v>
      </c>
      <c r="C2" s="79"/>
    </row>
    <row r="3" spans="2:3" s="82" customFormat="1" ht="13.5" customHeight="1" x14ac:dyDescent="0.35">
      <c r="B3" s="81" t="s">
        <v>10</v>
      </c>
      <c r="C3" s="81"/>
    </row>
    <row r="4" spans="2:3" x14ac:dyDescent="0.3">
      <c r="B4" s="90" t="s">
        <v>11</v>
      </c>
    </row>
    <row r="6" spans="2:3" s="83" customFormat="1" ht="26" x14ac:dyDescent="0.6">
      <c r="B6" s="85" t="s">
        <v>12</v>
      </c>
    </row>
    <row r="7" spans="2:3" ht="58" x14ac:dyDescent="0.3">
      <c r="B7" s="86" t="s">
        <v>13</v>
      </c>
    </row>
    <row r="8" spans="2:3" ht="14.5" x14ac:dyDescent="0.3">
      <c r="B8" s="84"/>
    </row>
    <row r="9" spans="2:3" s="83" customFormat="1" ht="26" x14ac:dyDescent="0.6">
      <c r="B9" s="85" t="s">
        <v>14</v>
      </c>
    </row>
    <row r="10" spans="2:3" ht="58" x14ac:dyDescent="0.3">
      <c r="B10" s="86" t="s">
        <v>15</v>
      </c>
    </row>
    <row r="11" spans="2:3" ht="14" x14ac:dyDescent="0.3">
      <c r="B11" s="87" t="s">
        <v>16</v>
      </c>
    </row>
    <row r="12" spans="2:3" ht="14.5" x14ac:dyDescent="0.3">
      <c r="B12" s="84"/>
    </row>
    <row r="13" spans="2:3" ht="14" x14ac:dyDescent="0.3">
      <c r="B13" s="93" t="str">
        <f>HYPERLINK("https://vertex42.link/HowToMakeAGanttChart","► Watch How This Gantt Chart Was Created")</f>
        <v>► Watch How This Gantt Chart Was Created</v>
      </c>
    </row>
    <row r="14" spans="2:3" ht="14.5" x14ac:dyDescent="0.3">
      <c r="B14" s="84"/>
    </row>
    <row r="15" spans="2:3" s="83" customFormat="1" ht="26" x14ac:dyDescent="0.6">
      <c r="B15" s="85" t="s">
        <v>17</v>
      </c>
    </row>
    <row r="16" spans="2:3" ht="29" x14ac:dyDescent="0.3">
      <c r="B16" s="86" t="s">
        <v>18</v>
      </c>
    </row>
    <row r="17" spans="2:2" ht="14" x14ac:dyDescent="0.3">
      <c r="B17" s="87" t="s">
        <v>19</v>
      </c>
    </row>
    <row r="18" spans="2:2" ht="14.5" x14ac:dyDescent="0.3">
      <c r="B18" s="84"/>
    </row>
    <row r="19" spans="2:2" s="83" customFormat="1" ht="26" x14ac:dyDescent="0.6">
      <c r="B19" s="85" t="s">
        <v>20</v>
      </c>
    </row>
    <row r="20" spans="2:2" ht="58" x14ac:dyDescent="0.3">
      <c r="B20" s="86" t="s">
        <v>21</v>
      </c>
    </row>
    <row r="21" spans="2:2" ht="14.5" x14ac:dyDescent="0.3">
      <c r="B21" s="84"/>
    </row>
    <row r="22" spans="2:2" ht="72.5" x14ac:dyDescent="0.3">
      <c r="B22" s="86" t="s">
        <v>22</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cp:keywords/>
  <dc:description>© 2018-2019 Vertex42 LLC. All Rights Reserved.</dc:description>
  <cp:lastModifiedBy>avamadelyn432@gmail.com</cp:lastModifiedBy>
  <cp:revision/>
  <dcterms:created xsi:type="dcterms:W3CDTF">2017-01-09T18:01:51Z</dcterms:created>
  <dcterms:modified xsi:type="dcterms:W3CDTF">2026-05-08T20:10:52Z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